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dmin\Downloads\starter-kit (4)\starter-kit\noi-that-website\data\"/>
    </mc:Choice>
  </mc:AlternateContent>
  <xr:revisionPtr revIDLastSave="0" documentId="13_ncr:1_{701994F5-1803-4636-9254-A6E5EB6EC3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onNoiThat" sheetId="1" r:id="rId1"/>
    <sheet name="SanPhamNT" sheetId="2" r:id="rId2"/>
  </sheets>
  <definedNames>
    <definedName name="_xlnm._FilterDatabase" localSheetId="0" hidden="1">DonNoiThat!$A$1:$G$16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12" i="1"/>
  <c r="G13" i="1"/>
  <c r="G15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F12" i="1"/>
  <c r="F13" i="1"/>
  <c r="F14" i="1"/>
  <c r="G14" i="1" s="1"/>
  <c r="F15" i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<sst xmlns="http://schemas.openxmlformats.org/spreadsheetml/2006/main" count="69" uniqueCount="51">
  <si>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ma_dnt</t>
  </si>
  <si>
    <t>ngay_giao</t>
  </si>
  <si>
    <t>ma_nt</t>
  </si>
  <si>
    <t>so_chiec</t>
  </si>
  <si>
    <t>ten_noi_that</t>
  </si>
  <si>
    <t>gia_niem_yet</t>
  </si>
  <si>
    <t>gia_tri</t>
  </si>
  <si>
    <t>DNT001</t>
  </si>
  <si>
    <t>2026-01-01</t>
  </si>
  <si>
    <t>BG01</t>
  </si>
  <si>
    <t>DNT002</t>
  </si>
  <si>
    <t>2026-01-02</t>
  </si>
  <si>
    <t>BT01</t>
  </si>
  <si>
    <t>DNT003</t>
  </si>
  <si>
    <t>2026-01-03</t>
  </si>
  <si>
    <t>KS01</t>
  </si>
  <si>
    <t>DNT004</t>
  </si>
  <si>
    <t>2026-01-04</t>
  </si>
  <si>
    <t>GH01</t>
  </si>
  <si>
    <t>DNT005</t>
  </si>
  <si>
    <t>2026-01-05</t>
  </si>
  <si>
    <t>DN01</t>
  </si>
  <si>
    <t>DNT006</t>
  </si>
  <si>
    <t>2026-01-06</t>
  </si>
  <si>
    <t>DNT007</t>
  </si>
  <si>
    <t>2026-01-07</t>
  </si>
  <si>
    <t>SF01</t>
  </si>
  <si>
    <t>DNT008</t>
  </si>
  <si>
    <t>2026-01-08</t>
  </si>
  <si>
    <t>DNT009</t>
  </si>
  <si>
    <t>2026-01-09</t>
  </si>
  <si>
    <t>DNT010</t>
  </si>
  <si>
    <t>2026-01-10</t>
  </si>
  <si>
    <t>TQ01</t>
  </si>
  <si>
    <t>DNT011</t>
  </si>
  <si>
    <t>2026-01-11</t>
  </si>
  <si>
    <t>DNT012</t>
  </si>
  <si>
    <t>2026-01-12</t>
  </si>
  <si>
    <t>DNT013</t>
  </si>
  <si>
    <t>2026-01-13</t>
  </si>
  <si>
    <t>DNT014</t>
  </si>
  <si>
    <t>2026-01-14</t>
  </si>
  <si>
    <t>DNT015</t>
  </si>
  <si>
    <t>2026-01-15</t>
  </si>
  <si>
    <t>Ban go lam viec</t>
  </si>
  <si>
    <t>Ghe xoay van phong</t>
  </si>
  <si>
    <t>Ke sach 5 tang</t>
  </si>
  <si>
    <t>Tu quan ao 3 canh</t>
  </si>
  <si>
    <t>Sofa don</t>
  </si>
  <si>
    <t>Den ngu</t>
  </si>
  <si>
    <t>Ban 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</si>
</sst>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D21" sqref="D21"/>
    </sheetView>
  </sheetViews>
  <sheetFormatPr defaultRowHeight="14.5" x14ac:dyDescent="0.35"/>
  <cols>
    <col min="1" max="4" width="15" customWidth="1"/>
    <col min="5" max="5" width="20.6328125" customWidth="1"/>
    <col min="6" max="7" width="1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>
        <v>2</v>
      </c>
      <c r="E2" s="1" t="str">
        <f>VLOOKUP(C2,SanPhamNT!$A$1:$C$8,2,0)</f>
        <v>Ban go lam viec</v>
      </c>
      <c r="F2" s="1">
        <f>VLOOKUP(C2,SanPhamNT!$A$1:$C$8,3,0)</f>
        <v>2500000</v>
      </c>
      <c r="G2" s="1">
        <f>D2*F2</f>
        <v>5000000</v>
      </c>
    </row>
    <row r="3" spans="1:7" x14ac:dyDescent="0.35">
      <c r="A3" s="1" t="s">
        <v>10</v>
      </c>
      <c r="B3" s="1" t="s">
        <v>11</v>
      </c>
      <c r="C3" s="1" t="s">
        <v>12</v>
      </c>
      <c r="D3" s="1">
        <v>3</v>
      </c>
      <c r="E3" s="1" t="str">
        <f>VLOOKUP(C3,SanPhamNT!$A$1:$C$8,2,0)</f>
        <v>Ban tra</v>
      </c>
      <c r="F3" s="1">
        <f>VLOOKUP(C3,SanPhamNT!$A$1:$C$8,3,0)</f>
        <v>1500000</v>
      </c>
      <c r="G3" s="1">
        <f t="shared" ref="G3:G16" si="0">D3*F3</f>
        <v>4500000</v>
      </c>
    </row>
    <row r="4" spans="1:7" hidden="1" x14ac:dyDescent="0.35">
      <c r="A4" s="1" t="s">
        <v>13</v>
      </c>
      <c r="B4" s="1" t="s">
        <v>14</v>
      </c>
      <c r="C4" s="1" t="s">
        <v>15</v>
      </c>
      <c r="D4" s="1">
        <v>2</v>
      </c>
      <c r="E4" s="1" t="str">
        <f>VLOOKUP(C4,SanPhamNT!$A$1:$C$8,2,0)</f>
        <v>Ke sach 5 tang</v>
      </c>
      <c r="F4" s="1">
        <f>VLOOKUP(C4,SanPhamNT!$A$1:$C$8,3,0)</f>
        <v>900000</v>
      </c>
      <c r="G4" s="1">
        <f t="shared" si="0"/>
        <v>1800000</v>
      </c>
    </row>
    <row r="5" spans="1:7" hidden="1" x14ac:dyDescent="0.35">
      <c r="A5" s="1" t="s">
        <v>16</v>
      </c>
      <c r="B5" s="1" t="s">
        <v>17</v>
      </c>
      <c r="C5" s="1" t="s">
        <v>18</v>
      </c>
      <c r="D5" s="1">
        <v>2</v>
      </c>
      <c r="E5" s="1" t="str">
        <f>VLOOKUP(C5,SanPhamNT!$A$1:$C$8,2,0)</f>
        <v>Ghe xoay van phong</v>
      </c>
      <c r="F5" s="1">
        <f>VLOOKUP(C5,SanPhamNT!$A$1:$C$8,3,0)</f>
        <v>1200000</v>
      </c>
      <c r="G5" s="1">
        <f t="shared" si="0"/>
        <v>2400000</v>
      </c>
    </row>
    <row r="6" spans="1:7" hidden="1" x14ac:dyDescent="0.35">
      <c r="A6" s="1" t="s">
        <v>19</v>
      </c>
      <c r="B6" s="1" t="s">
        <v>20</v>
      </c>
      <c r="C6" s="1" t="s">
        <v>21</v>
      </c>
      <c r="D6" s="1">
        <v>4</v>
      </c>
      <c r="E6" s="1" t="str">
        <f>VLOOKUP(C6,SanPhamNT!$A$1:$C$8,2,0)</f>
        <v>Den ngu</v>
      </c>
      <c r="F6" s="1">
        <f>VLOOKUP(C6,SanPhamNT!$A$1:$C$8,3,0)</f>
        <v>400000</v>
      </c>
      <c r="G6" s="1">
        <f t="shared" si="0"/>
        <v>1600000</v>
      </c>
    </row>
    <row r="7" spans="1:7" x14ac:dyDescent="0.35">
      <c r="A7" s="1" t="s">
        <v>22</v>
      </c>
      <c r="B7" s="1" t="s">
        <v>23</v>
      </c>
      <c r="C7" s="1" t="s">
        <v>9</v>
      </c>
      <c r="D7" s="1">
        <v>2</v>
      </c>
      <c r="E7" s="1" t="str">
        <f>VLOOKUP(C7,SanPhamNT!$A$1:$C$8,2,0)</f>
        <v>Ban go lam viec</v>
      </c>
      <c r="F7" s="1">
        <f>VLOOKUP(C7,SanPhamNT!$A$1:$C$8,3,0)</f>
        <v>2500000</v>
      </c>
      <c r="G7" s="1">
        <f t="shared" si="0"/>
        <v>5000000</v>
      </c>
    </row>
    <row r="8" spans="1:7" hidden="1" x14ac:dyDescent="0.35">
      <c r="A8" s="1" t="s">
        <v>24</v>
      </c>
      <c r="B8" s="1" t="s">
        <v>25</v>
      </c>
      <c r="C8" s="1" t="s">
        <v>26</v>
      </c>
      <c r="D8" s="1">
        <v>1</v>
      </c>
      <c r="E8" s="1" t="str">
        <f>VLOOKUP(C8,SanPhamNT!$A$1:$C$8,2,0)</f>
        <v>Sofa don</v>
      </c>
      <c r="F8" s="1">
        <f>VLOOKUP(C8,SanPhamNT!$A$1:$C$8,3,0)</f>
        <v>3500000</v>
      </c>
      <c r="G8" s="1">
        <f t="shared" si="0"/>
        <v>3500000</v>
      </c>
    </row>
    <row r="9" spans="1:7" x14ac:dyDescent="0.35">
      <c r="A9" s="1" t="s">
        <v>27</v>
      </c>
      <c r="B9" s="1" t="s">
        <v>28</v>
      </c>
      <c r="C9" s="1" t="s">
        <v>18</v>
      </c>
      <c r="D9" s="1">
        <v>5</v>
      </c>
      <c r="E9" s="1" t="str">
        <f>VLOOKUP(C9,SanPhamNT!$A$1:$C$8,2,0)</f>
        <v>Ghe xoay van phong</v>
      </c>
      <c r="F9" s="1">
        <f>VLOOKUP(C9,SanPhamNT!$A$1:$C$8,3,0)</f>
        <v>1200000</v>
      </c>
      <c r="G9" s="1">
        <f t="shared" si="0"/>
        <v>6000000</v>
      </c>
    </row>
    <row r="10" spans="1:7" x14ac:dyDescent="0.35">
      <c r="A10" s="1" t="s">
        <v>29</v>
      </c>
      <c r="B10" s="1" t="s">
        <v>30</v>
      </c>
      <c r="C10" s="1" t="s">
        <v>9</v>
      </c>
      <c r="D10" s="1">
        <v>2</v>
      </c>
      <c r="E10" s="1" t="str">
        <f>VLOOKUP(C10,SanPhamNT!$A$1:$C$8,2,0)</f>
        <v>Ban go lam viec</v>
      </c>
      <c r="F10" s="1">
        <f>VLOOKUP(C10,SanPhamNT!$A$1:$C$8,3,0)</f>
        <v>2500000</v>
      </c>
      <c r="G10" s="1">
        <f t="shared" si="0"/>
        <v>5000000</v>
      </c>
    </row>
    <row r="11" spans="1:7" x14ac:dyDescent="0.35">
      <c r="A11" s="1" t="s">
        <v>31</v>
      </c>
      <c r="B11" s="1" t="s">
        <v>32</v>
      </c>
      <c r="C11" s="1" t="s">
        <v>33</v>
      </c>
      <c r="D11" s="1">
        <v>4</v>
      </c>
      <c r="E11" s="1" t="str">
        <f>VLOOKUP(C11,SanPhamNT!$A$1:$C$8,2,0)</f>
        <v>Tu quan ao 3 canh</v>
      </c>
      <c r="F11" s="1">
        <f>VLOOKUP(C11,SanPhamNT!$A$1:$C$8,3,0)</f>
        <v>4500000</v>
      </c>
      <c r="G11" s="1">
        <f t="shared" si="0"/>
        <v>18000000</v>
      </c>
    </row>
    <row r="12" spans="1:7" hidden="1" x14ac:dyDescent="0.35">
      <c r="A12" s="1" t="s">
        <v>34</v>
      </c>
      <c r="B12" s="1" t="s">
        <v>35</v>
      </c>
      <c r="C12" s="1" t="s">
        <v>18</v>
      </c>
      <c r="D12" s="1">
        <v>3</v>
      </c>
      <c r="E12" s="1" t="str">
        <f>VLOOKUP(C12,SanPhamNT!$A$1:$C$8,2,0)</f>
        <v>Ghe xoay van phong</v>
      </c>
      <c r="F12" s="1">
        <f>VLOOKUP(C12,SanPhamNT!$A$1:$C$8,3,0)</f>
        <v>1200000</v>
      </c>
      <c r="G12" s="1">
        <f t="shared" si="0"/>
        <v>3600000</v>
      </c>
    </row>
    <row r="13" spans="1:7" x14ac:dyDescent="0.35">
      <c r="A13" s="1" t="s">
        <v>36</v>
      </c>
      <c r="B13" s="1" t="s">
        <v>37</v>
      </c>
      <c r="C13" s="1" t="s">
        <v>12</v>
      </c>
      <c r="D13" s="1">
        <v>4</v>
      </c>
      <c r="E13" s="1" t="str">
        <f>VLOOKUP(C13,SanPhamNT!$A$1:$C$8,2,0)</f>
        <v>Ban tra</v>
      </c>
      <c r="F13" s="1">
        <f>VLOOKUP(C13,SanPhamNT!$A$1:$C$8,3,0)</f>
        <v>1500000</v>
      </c>
      <c r="G13" s="1">
        <f t="shared" si="0"/>
        <v>6000000</v>
      </c>
    </row>
    <row r="14" spans="1:7" hidden="1" x14ac:dyDescent="0.35">
      <c r="A14" s="1" t="s">
        <v>38</v>
      </c>
      <c r="B14" s="1" t="s">
        <v>39</v>
      </c>
      <c r="C14" s="1" t="s">
        <v>12</v>
      </c>
      <c r="D14" s="1">
        <v>2</v>
      </c>
      <c r="E14" s="1" t="str">
        <f>VLOOKUP(C14,SanPhamNT!$A$1:$C$8,2,0)</f>
        <v>Ban tra</v>
      </c>
      <c r="F14" s="1">
        <f>VLOOKUP(C14,SanPhamNT!$A$1:$C$8,3,0)</f>
        <v>1500000</v>
      </c>
      <c r="G14" s="1">
        <f t="shared" si="0"/>
        <v>3000000</v>
      </c>
    </row>
    <row r="15" spans="1:7" hidden="1" x14ac:dyDescent="0.35">
      <c r="A15" s="1" t="s">
        <v>40</v>
      </c>
      <c r="B15" s="1" t="s">
        <v>41</v>
      </c>
      <c r="C15" s="1" t="s">
        <v>15</v>
      </c>
      <c r="D15" s="1">
        <v>1</v>
      </c>
      <c r="E15" s="1" t="str">
        <f>VLOOKUP(C15,SanPhamNT!$A$1:$C$8,2,0)</f>
        <v>Ke sach 5 tang</v>
      </c>
      <c r="F15" s="1">
        <f>VLOOKUP(C15,SanPhamNT!$A$1:$C$8,3,0)</f>
        <v>900000</v>
      </c>
      <c r="G15" s="1">
        <f t="shared" si="0"/>
        <v>900000</v>
      </c>
    </row>
    <row r="16" spans="1:7" hidden="1" x14ac:dyDescent="0.35">
      <c r="A16" s="1" t="s">
        <v>42</v>
      </c>
      <c r="B16" s="1" t="s">
        <v>43</v>
      </c>
      <c r="C16" s="1" t="s">
        <v>15</v>
      </c>
      <c r="D16" s="1">
        <v>4</v>
      </c>
      <c r="E16" s="1" t="str">
        <f>VLOOKUP(C16,SanPhamNT!$A$1:$C$8,2,0)</f>
        <v>Ke sach 5 tang</v>
      </c>
      <c r="F16" s="1">
        <f>VLOOKUP(C16,SanPhamNT!$A$1:$C$8,3,0)</f>
        <v>900000</v>
      </c>
      <c r="G16" s="1">
        <f t="shared" si="0"/>
        <v>3600000</v>
      </c>
    </row>
  </sheetData>
  <autoFilter ref="A1:G16" xr:uid="{00000000-0001-0000-0000-000000000000}">
    <filterColumn colId="6">
      <customFilters>
        <customFilter operator="greaterThanOrEqual" val="45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cols>
    <col min="1" max="7" width="15" customWidth="1"/>
  </cols>
  <sheetData>
    <row r="1" spans="1:3" x14ac:dyDescent="0.35">
      <c r="A1" t="s">
        <v>2</v>
      </c>
      <c r="B1" t="s">
        <v>4</v>
      </c>
      <c r="C1" t="s">
        <v>5</v>
      </c>
    </row>
    <row r="2" spans="1:3" x14ac:dyDescent="0.35">
      <c r="A2" t="s">
        <v>9</v>
      </c>
      <c r="B2" t="s">
        <v>44</v>
      </c>
      <c r="C2">
        <v>2500000</v>
      </c>
    </row>
    <row r="3" spans="1:3" x14ac:dyDescent="0.35">
      <c r="A3" t="s">
        <v>18</v>
      </c>
      <c r="B3" t="s">
        <v>45</v>
      </c>
      <c r="C3">
        <v>1200000</v>
      </c>
    </row>
    <row r="4" spans="1:3" x14ac:dyDescent="0.35">
      <c r="A4" t="s">
        <v>15</v>
      </c>
      <c r="B4" t="s">
        <v>46</v>
      </c>
      <c r="C4">
        <v>900000</v>
      </c>
    </row>
    <row r="5" spans="1:3" x14ac:dyDescent="0.35">
      <c r="A5" t="s">
        <v>33</v>
      </c>
      <c r="B5" t="s">
        <v>47</v>
      </c>
      <c r="C5">
        <v>4500000</v>
      </c>
    </row>
    <row r="6" spans="1:3" x14ac:dyDescent="0.35">
      <c r="A6" t="s">
        <v>26</v>
      </c>
      <c r="B6" t="s">
        <v>48</v>
      </c>
      <c r="C6">
        <v>3500000</v>
      </c>
    </row>
    <row r="7" spans="1:3" x14ac:dyDescent="0.35">
      <c r="A7" t="s">
        <v>21</v>
      </c>
      <c r="B7" t="s">
        <v>49</v>
      </c>
      <c r="C7">
        <v>400000</v>
      </c>
    </row>
    <row r="8" spans="1:3" x14ac:dyDescent="0.35">
      <c r="A8" t="s">
        <v>12</v>
      </c>
      <c r="B8" t="s">
        <v>50</v>
      </c>
      <c r="C8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DonNoiThat</vt:lpstr>
      <vt:lpstr>SanPhamNT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Nhi Hoàng</cp:lastModifiedBy>
  <dcterms:created xsi:type="dcterms:W3CDTF">2026-10-27T01:32:31Z</dcterms:created>
  <dcterms:modified xsi:type="dcterms:W3CDTF">2026-10-28T07:41:58Z</dcterms:modified>
</cp:coreProperties>
</file>